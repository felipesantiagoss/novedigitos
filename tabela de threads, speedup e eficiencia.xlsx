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peedup_Eficiencia" sheetId="1" r:id="rId4"/>
  </sheets>
</workbook>
</file>

<file path=xl/sharedStrings.xml><?xml version="1.0" encoding="utf-8"?>
<sst xmlns="http://schemas.openxmlformats.org/spreadsheetml/2006/main" uniqueCount="13">
  <si>
    <t>Tabela de Threads, Speedup e Eficiência</t>
  </si>
  <si>
    <t>Tempo serial (T1)</t>
  </si>
  <si>
    <t>Unidade (ex.: min)</t>
  </si>
  <si>
    <t>Obs.: Speedup = T1 / Tp  |  Eficiência = Speedup / Threads</t>
  </si>
  <si>
    <t>Threads</t>
  </si>
  <si>
    <t>Tempo paralelo (Tp)</t>
  </si>
  <si>
    <t>Speedup (T1/Tp)</t>
  </si>
  <si>
    <t>Speedup arredondado</t>
  </si>
  <si>
    <t>Ideal</t>
  </si>
  <si>
    <t>Eficiência</t>
  </si>
  <si>
    <t>Eficiência (%)</t>
  </si>
  <si>
    <t>Tempo (T1)</t>
  </si>
  <si>
    <t>Speedup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</si>
</sst>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"/>
    <numFmt numFmtId="60" formatCode="0.0"/>
  </numFmts>
  <fonts count="5">
    <font>
      <sz val="11"/>
      <color indexed="8"/>
      <name val="Calibri"/>
    </font>
    <font>
      <sz val="12"/>
      <color indexed="8"/>
      <name val="Helvetica Neue"/>
    </font>
    <font>
      <sz val="12"/>
      <color indexed="8"/>
      <name val="Calibri"/>
    </font>
    <font>
      <b val="1"/>
      <sz val="11"/>
      <color indexed="8"/>
      <name val="Calibri"/>
    </font>
    <font>
      <sz val="18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60" fontId="0" fillId="2" borderId="1" applyNumberFormat="1" applyFont="1" applyFill="1" applyBorder="1" applyAlignment="1" applyProtection="0">
      <alignment vertical="top" wrapText="1"/>
    </xf>
    <xf numFmtId="10" fontId="0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59" fontId="0" borderId="1" applyNumberFormat="1" applyFont="1" applyFill="0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  <xf numFmtId="1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  <rgbColor rgb="ffffffff"/>
      <rgbColor rgb="ff878787"/>
      <rgbColor rgb="ff4a7dbb"/>
      <rgbColor rgb="ffbe4b48"/>
      <rgbColor rgb="ffb61c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7513"/>
          <c:y val="0.0634245"/>
          <c:w val="0.819768"/>
          <c:h val="0.890742"/>
        </c:manualLayout>
      </c:layout>
      <c:lineChart>
        <c:grouping val="standard"/>
        <c:varyColors val="0"/>
        <c:ser>
          <c:idx val="0"/>
          <c:order val="0"/>
          <c:tx>
            <c:v>Sem Título 3</c:v>
          </c:tx>
          <c:spPr>
            <a:solidFill>
              <a:schemeClr val="accent1"/>
            </a:solidFill>
            <a:ln w="47625" cap="flat">
              <a:solidFill>
                <a:srgbClr val="4A7EBB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 cap="flat">
                <a:solidFill>
                  <a:srgbClr val="4A7EBB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Sem Título 1</c:v>
              </c:pt>
              <c:pt idx="1">
                <c:v>Sem Título 2</c:v>
              </c:pt>
              <c:pt idx="2">
                <c:v>Sem Título 3</c:v>
              </c:pt>
              <c:pt idx="3">
                <c:v>Sem Título 4</c:v>
              </c:pt>
            </c:strLit>
          </c:cat>
          <c:val>
            <c:numRef>
              <c:f>'Speedup_Eficiencia'!$C$6:$C$9</c:f>
              <c:numCache>
                <c:ptCount val="4"/>
                <c:pt idx="0">
                  <c:v>2.739812</c:v>
                </c:pt>
                <c:pt idx="1">
                  <c:v>4.682143</c:v>
                </c:pt>
                <c:pt idx="2">
                  <c:v>8.625000</c:v>
                </c:pt>
                <c:pt idx="3">
                  <c:v>16.700637</c:v>
                </c:pt>
              </c:numCache>
            </c:numRef>
          </c:val>
          <c:smooth val="0"/>
        </c:ser>
        <c:ser>
          <c:idx val="1"/>
          <c:order val="1"/>
          <c:tx>
            <c:v>Sem Título 1</c:v>
          </c:tx>
          <c:spPr>
            <a:solidFill>
              <a:schemeClr val="accent2"/>
            </a:solidFill>
            <a:ln w="47625" cap="flat">
              <a:solidFill>
                <a:srgbClr val="BE4B48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 cap="flat">
                <a:solidFill>
                  <a:srgbClr val="BE4B48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Sem Título 1</c:v>
              </c:pt>
              <c:pt idx="1">
                <c:v>Sem Título 2</c:v>
              </c:pt>
              <c:pt idx="2">
                <c:v>Sem Título 3</c:v>
              </c:pt>
              <c:pt idx="3">
                <c:v>Sem Título 4</c:v>
              </c:pt>
            </c:strLit>
          </c:cat>
          <c:val>
            <c:numRef>
              <c:f>'Speedup_Eficiencia'!$D$10</c:f>
              <c:numCache>
                <c:ptCount val="0"/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4.5"/>
        <c:minorUnit val="2.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2756"/>
          <c:y val="0.0634245"/>
          <c:w val="0.866683"/>
          <c:h val="0.890742"/>
        </c:manualLayout>
      </c:layout>
      <c:lineChart>
        <c:grouping val="standard"/>
        <c:varyColors val="0"/>
        <c:ser>
          <c:idx val="0"/>
          <c:order val="0"/>
          <c:tx>
            <c:v>Sem Título 1</c:v>
          </c:tx>
          <c:spPr>
            <a:solidFill>
              <a:schemeClr val="accent1"/>
            </a:solidFill>
            <a:ln w="47625" cap="flat">
              <a:solidFill>
                <a:srgbClr val="B61C00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 cap="flat">
                <a:solidFill>
                  <a:srgbClr val="4A7EBB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Sem Título 1</c:v>
              </c:pt>
              <c:pt idx="1">
                <c:v>Sem Título 2</c:v>
              </c:pt>
              <c:pt idx="2">
                <c:v>Sem Título 3</c:v>
              </c:pt>
              <c:pt idx="3">
                <c:v>Sem Título 4</c:v>
              </c:pt>
            </c:strLit>
          </c:cat>
          <c:val>
            <c:numRef>
              <c:f>'Speedup_Eficiencia'!$F$5:$F$8</c:f>
              <c:numCache>
                <c:ptCount val="3"/>
                <c:pt idx="1">
                  <c:v>1.369906</c:v>
                </c:pt>
                <c:pt idx="2">
                  <c:v>1.170536</c:v>
                </c:pt>
                <c:pt idx="3">
                  <c:v>1.078125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35"/>
        <c:minorUnit val="0.1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13</xdr:row>
      <xdr:rowOff>196150</xdr:rowOff>
    </xdr:from>
    <xdr:to>
      <xdr:col>4</xdr:col>
      <xdr:colOff>406189</xdr:colOff>
      <xdr:row>31</xdr:row>
      <xdr:rowOff>28510</xdr:rowOff>
    </xdr:to>
    <xdr:graphicFrame>
      <xdr:nvGraphicFramePr>
        <xdr:cNvPr id="2" name="Gráfico de Linhas 2D"/>
        <xdr:cNvGraphicFramePr/>
      </xdr:nvGraphicFramePr>
      <xdr:xfrm>
        <a:off x="-520490" y="2740595"/>
        <a:ext cx="5600490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115862</xdr:colOff>
      <xdr:row>34</xdr:row>
      <xdr:rowOff>570</xdr:rowOff>
    </xdr:from>
    <xdr:to>
      <xdr:col>3</xdr:col>
      <xdr:colOff>1257300</xdr:colOff>
      <xdr:row>51</xdr:row>
      <xdr:rowOff>53910</xdr:rowOff>
    </xdr:to>
    <xdr:graphicFrame>
      <xdr:nvGraphicFramePr>
        <xdr:cNvPr id="3" name="Gráfico de Linhas 2D"/>
        <xdr:cNvGraphicFramePr/>
      </xdr:nvGraphicFramePr>
      <xdr:xfrm>
        <a:off x="115862" y="7185595"/>
        <a:ext cx="4964138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4</xdr:col>
      <xdr:colOff>334386</xdr:colOff>
      <xdr:row>18</xdr:row>
      <xdr:rowOff>135264</xdr:rowOff>
    </xdr:from>
    <xdr:to>
      <xdr:col>5</xdr:col>
      <xdr:colOff>227655</xdr:colOff>
      <xdr:row>19</xdr:row>
      <xdr:rowOff>173848</xdr:rowOff>
    </xdr:to>
    <xdr:sp>
      <xdr:nvSpPr>
        <xdr:cNvPr id="4" name="SpeedUp"/>
        <xdr:cNvSpPr txBox="1"/>
      </xdr:nvSpPr>
      <xdr:spPr>
        <a:xfrm>
          <a:off x="5528686" y="3784609"/>
          <a:ext cx="655270" cy="25956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9144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SpeedUp</a:t>
          </a:r>
        </a:p>
      </xdr:txBody>
    </xdr:sp>
    <xdr:clientData/>
  </xdr:twoCellAnchor>
  <xdr:twoCellAnchor>
    <xdr:from>
      <xdr:col>4</xdr:col>
      <xdr:colOff>375321</xdr:colOff>
      <xdr:row>34</xdr:row>
      <xdr:rowOff>99511</xdr:rowOff>
    </xdr:from>
    <xdr:to>
      <xdr:col>5</xdr:col>
      <xdr:colOff>286189</xdr:colOff>
      <xdr:row>35</xdr:row>
      <xdr:rowOff>138095</xdr:rowOff>
    </xdr:to>
    <xdr:sp>
      <xdr:nvSpPr>
        <xdr:cNvPr id="5" name="Eficiência"/>
        <xdr:cNvSpPr txBox="1"/>
      </xdr:nvSpPr>
      <xdr:spPr>
        <a:xfrm>
          <a:off x="5569621" y="7284536"/>
          <a:ext cx="672869" cy="25956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9144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Eficiência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7.4" customHeight="1" outlineLevelRow="0" outlineLevelCol="0"/>
  <cols>
    <col min="1" max="1" width="16.1641" style="1" customWidth="1"/>
    <col min="2" max="2" width="18" style="1" customWidth="1"/>
    <col min="3" max="3" width="16" style="1" customWidth="1"/>
    <col min="4" max="4" width="17.9219" style="1" customWidth="1"/>
    <col min="5" max="5" width="10" style="1" customWidth="1"/>
    <col min="6" max="6" width="12" style="1" customWidth="1"/>
    <col min="7" max="7" width="14" style="1" customWidth="1"/>
    <col min="8" max="16384" width="8.85156" style="1" customWidth="1"/>
  </cols>
  <sheetData>
    <row r="1" ht="15.05" customHeight="1">
      <c r="A1" t="s" s="2">
        <v>0</v>
      </c>
      <c r="B1" s="3"/>
      <c r="C1" s="3"/>
      <c r="D1" s="3"/>
      <c r="E1" s="3"/>
      <c r="F1" s="3"/>
      <c r="G1" s="3"/>
    </row>
    <row r="2" ht="15.05" customHeight="1">
      <c r="A2" t="s" s="4">
        <v>1</v>
      </c>
      <c r="B2" s="5">
        <v>26.22</v>
      </c>
      <c r="C2" t="s" s="4">
        <v>2</v>
      </c>
      <c r="D2" s="6"/>
      <c r="E2" s="6"/>
      <c r="F2" s="6"/>
      <c r="G2" s="6"/>
    </row>
    <row r="3" ht="15.05" customHeight="1">
      <c r="A3" t="s" s="7">
        <v>3</v>
      </c>
      <c r="B3" s="3"/>
      <c r="C3" s="3"/>
      <c r="D3" s="3"/>
      <c r="E3" s="3"/>
      <c r="F3" s="3"/>
      <c r="G3" s="3"/>
    </row>
    <row r="4" ht="15.05" customHeight="1">
      <c r="A4" s="6"/>
      <c r="B4" s="6"/>
      <c r="C4" s="6"/>
      <c r="D4" s="6"/>
      <c r="E4" s="6"/>
      <c r="F4" s="6"/>
      <c r="G4" s="6"/>
    </row>
    <row r="5" ht="15.05" customHeight="1">
      <c r="A5" t="s" s="7">
        <v>4</v>
      </c>
      <c r="B5" t="s" s="7">
        <v>5</v>
      </c>
      <c r="C5" t="s" s="7">
        <v>6</v>
      </c>
      <c r="D5" t="s" s="7">
        <v>7</v>
      </c>
      <c r="E5" t="s" s="7">
        <v>8</v>
      </c>
      <c r="F5" t="s" s="7">
        <v>9</v>
      </c>
      <c r="G5" t="s" s="7">
        <v>10</v>
      </c>
    </row>
    <row r="6" ht="15.05" customHeight="1">
      <c r="A6" s="5">
        <v>2</v>
      </c>
      <c r="B6" s="5">
        <v>9.57</v>
      </c>
      <c r="C6" s="8">
        <f>$B$2/B6</f>
        <v>2.73981191222571</v>
      </c>
      <c r="D6" s="9">
        <f>ROUND(C6,1)</f>
        <v>2.7</v>
      </c>
      <c r="E6" s="5">
        <f>A6</f>
        <v>2</v>
      </c>
      <c r="F6" s="8">
        <f>C6/A6</f>
        <v>1.36990595611286</v>
      </c>
      <c r="G6" s="10">
        <f>F6</f>
        <v>1.36990595611286</v>
      </c>
    </row>
    <row r="7" ht="15.05" customHeight="1">
      <c r="A7" s="11">
        <v>4</v>
      </c>
      <c r="B7" s="11">
        <v>5.6</v>
      </c>
      <c r="C7" s="12">
        <f>$B$2/B7</f>
        <v>4.68214285714286</v>
      </c>
      <c r="D7" s="13">
        <f>ROUND(C7,1)</f>
        <v>4.7</v>
      </c>
      <c r="E7" s="11">
        <f>A7</f>
        <v>4</v>
      </c>
      <c r="F7" s="12">
        <f>C7/A7</f>
        <v>1.17053571428572</v>
      </c>
      <c r="G7" s="14">
        <f>F7</f>
        <v>1.17053571428572</v>
      </c>
    </row>
    <row r="8" ht="15.05" customHeight="1">
      <c r="A8" s="5">
        <v>8</v>
      </c>
      <c r="B8" s="5">
        <v>3.04</v>
      </c>
      <c r="C8" s="8">
        <f>$B$2/B8</f>
        <v>8.625</v>
      </c>
      <c r="D8" s="9">
        <f>ROUND(C8,1)</f>
        <v>8.6</v>
      </c>
      <c r="E8" s="5">
        <f>A8</f>
        <v>8</v>
      </c>
      <c r="F8" s="8">
        <f>C8/A8</f>
        <v>1.078125</v>
      </c>
      <c r="G8" s="10">
        <f>F8</f>
        <v>1.078125</v>
      </c>
    </row>
    <row r="9" ht="15.05" customHeight="1">
      <c r="A9" s="11">
        <v>12</v>
      </c>
      <c r="B9" s="11">
        <v>1.57</v>
      </c>
      <c r="C9" s="12">
        <f>$B$2/B9</f>
        <v>16.7006369426752</v>
      </c>
      <c r="D9" s="13">
        <f>ROUND(C9,1)</f>
        <v>16.7</v>
      </c>
      <c r="E9" s="11">
        <f>A9</f>
        <v>12</v>
      </c>
      <c r="F9" s="12">
        <f>C9/A9</f>
        <v>1.39171974522293</v>
      </c>
      <c r="G9" s="14">
        <f>F9</f>
        <v>1.39171974522293</v>
      </c>
    </row>
    <row r="10" ht="15.05" customHeight="1">
      <c r="A10" t="s" s="4">
        <v>4</v>
      </c>
      <c r="B10" t="s" s="4">
        <v>11</v>
      </c>
      <c r="C10" t="s" s="4">
        <v>12</v>
      </c>
      <c r="D10" t="s" s="4">
        <v>10</v>
      </c>
      <c r="E10" s="6"/>
      <c r="F10" s="6"/>
      <c r="G10" s="6"/>
    </row>
    <row r="11" ht="15.05" customHeight="1">
      <c r="A11" s="11">
        <v>1</v>
      </c>
      <c r="B11" s="12">
        <f>B2</f>
        <v>26.22</v>
      </c>
      <c r="C11" s="3"/>
      <c r="D11" s="14">
        <v>1</v>
      </c>
      <c r="E11" s="3"/>
      <c r="F11" s="3"/>
      <c r="G11" s="3"/>
    </row>
  </sheetData>
  <mergeCells count="2">
    <mergeCell ref="A3:G3"/>
    <mergeCell ref="A1:G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